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d2a3fcb6ac5bd9/Desktop/Documentsss/3d models and g codes/ULK/"/>
    </mc:Choice>
  </mc:AlternateContent>
  <xr:revisionPtr revIDLastSave="0" documentId="8_{7CF85D94-5924-45F0-A2FE-C82199915710}" xr6:coauthVersionLast="47" xr6:coauthVersionMax="47" xr10:uidLastSave="{00000000-0000-0000-0000-000000000000}"/>
  <bookViews>
    <workbookView xWindow="38400" yWindow="15" windowWidth="25575" windowHeight="15975" xr2:uid="{B75E6659-0138-4392-A19F-BAE4A5C38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V22" i="1"/>
  <c r="Y30" i="1"/>
  <c r="S33" i="1"/>
  <c r="S22" i="1"/>
  <c r="P18" i="1"/>
  <c r="P19" i="1"/>
  <c r="P20" i="1"/>
  <c r="P10" i="1"/>
  <c r="P11" i="1"/>
  <c r="P12" i="1"/>
  <c r="P13" i="1"/>
  <c r="P17" i="1"/>
  <c r="K8" i="1"/>
  <c r="K12" i="1"/>
  <c r="I11" i="1"/>
  <c r="I12" i="1"/>
  <c r="J11" i="1"/>
  <c r="J12" i="1" s="1"/>
  <c r="J7" i="1"/>
  <c r="J8" i="1"/>
  <c r="I7" i="1"/>
  <c r="I8" i="1"/>
  <c r="D3" i="1"/>
</calcChain>
</file>

<file path=xl/sharedStrings.xml><?xml version="1.0" encoding="utf-8"?>
<sst xmlns="http://schemas.openxmlformats.org/spreadsheetml/2006/main" count="12" uniqueCount="10">
  <si>
    <t>v</t>
  </si>
  <si>
    <t>I mA</t>
  </si>
  <si>
    <t>uA</t>
  </si>
  <si>
    <t>V</t>
  </si>
  <si>
    <t>20k</t>
  </si>
  <si>
    <t>47k</t>
  </si>
  <si>
    <t>ss</t>
  </si>
  <si>
    <t>qwedsdsdsdsklklklkksdsdsdssdswwwkkjkjkdcdddddddddsdfadsfadsdfsdsdssdfsdsdsdsdsdsdssdddddddddddddddddddddddddddddddddddddddddddddddddddddddddddddddddddddddddddddddddddddddddddddddddddddddddddddddddddddddddddddddddd</t>
  </si>
  <si>
    <t>kisdsdssssssaDDAASsASASssdsdsddsdsddsssdsdssdsdsdsdsdsdsdsdsdsdssddddddddddddddddddddddddddddddddddddddddddddddddddddddddddddddddddddddddddddddddddddddddddddddddddddddddddddddffdffffffffffffffffffffffffffffffffffffffffffffffffffffffffffffffffffffffffffffffffffffffffffffffffffffffffffffffffffffffffffffffffffffffffffffffffffffffffffffffffffffffffffffffffffffffffffffffffffffffffffffffffffffffff</t>
  </si>
  <si>
    <t>sddsdsddddddfaffawwwwwwwwwwwwwwwwwwwwwwwwwwwfdfdvvcddreerewwwwwwwwwwwwwwwwwwwwwwwwwwwwwwwwwwwwwwwwwwwwwwwwwwwwwwwwwwwwwwwwwwwwwwwwwwwwwwwwwwwwwwwwwwwwwwwwwwwwwwwwwwwjmhmmmmmmmmmmmmmmmmmmmmmmmmmmmmmmmmmmmmmmmmm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</si>
</sst>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BBB2-EB62-4E59-B80D-4FDBF5316C59}">
  <dimension ref="B2:Z121"/>
  <sheetViews>
    <sheetView tabSelected="1" topLeftCell="B13" zoomScaleNormal="100" workbookViewId="0">
      <selection activeCell="V29" sqref="V29"/>
    </sheetView>
  </sheetViews>
  <sheetFormatPr defaultRowHeight="14" x14ac:dyDescent="0.3"/>
  <cols>
    <col min="9" max="9" width="10" bestFit="1" customWidth="1"/>
    <col min="10" max="10" width="10.54296875" customWidth="1"/>
  </cols>
  <sheetData>
    <row r="2" spans="2:26" x14ac:dyDescent="0.3">
      <c r="B2" t="s">
        <v>0</v>
      </c>
      <c r="C2" t="s">
        <v>1</v>
      </c>
    </row>
    <row r="3" spans="2:26" x14ac:dyDescent="0.3">
      <c r="B3">
        <v>3.3</v>
      </c>
      <c r="C3">
        <v>0.5</v>
      </c>
      <c r="D3">
        <f>B3/(C3/1000)</f>
        <v>6599.9999999999991</v>
      </c>
    </row>
    <row r="6" spans="2:26" x14ac:dyDescent="0.3">
      <c r="J6">
        <v>2.2000000000000002</v>
      </c>
    </row>
    <row r="7" spans="2:26" x14ac:dyDescent="0.3">
      <c r="I7">
        <f>50/1000000*2.2</f>
        <v>1.1000000000000002E-4</v>
      </c>
      <c r="J7">
        <f>J6^2/18600</f>
        <v>2.6021505376344091E-4</v>
      </c>
    </row>
    <row r="8" spans="2:26" x14ac:dyDescent="0.3">
      <c r="I8">
        <f>I7*1000000</f>
        <v>110.00000000000001</v>
      </c>
      <c r="J8">
        <f>J7*1000000</f>
        <v>260.21505376344089</v>
      </c>
      <c r="K8">
        <f>I8/I17*100</f>
        <v>4830.9178743961356</v>
      </c>
    </row>
    <row r="9" spans="2:26" x14ac:dyDescent="0.3">
      <c r="N9" t="s">
        <v>2</v>
      </c>
      <c r="O9" t="s">
        <v>3</v>
      </c>
    </row>
    <row r="10" spans="2:26" x14ac:dyDescent="0.3">
      <c r="J10">
        <v>2.2000000000000002</v>
      </c>
      <c r="N10">
        <v>64</v>
      </c>
      <c r="O10">
        <v>1.23</v>
      </c>
      <c r="P10" s="1">
        <f t="shared" ref="P10:P13" si="0">O10/N10*1000</f>
        <v>19.21875</v>
      </c>
      <c r="R10">
        <v>41</v>
      </c>
      <c r="S10">
        <v>0.82</v>
      </c>
      <c r="U10">
        <v>11.3</v>
      </c>
      <c r="V10">
        <v>0.51</v>
      </c>
    </row>
    <row r="11" spans="2:26" x14ac:dyDescent="0.3">
      <c r="I11">
        <f>64.6/1000000*2.5</f>
        <v>1.615E-4</v>
      </c>
      <c r="J11">
        <f>J10^2/18600</f>
        <v>2.6021505376344091E-4</v>
      </c>
      <c r="N11">
        <v>66</v>
      </c>
      <c r="O11">
        <v>0.75</v>
      </c>
      <c r="P11" s="1">
        <f t="shared" si="0"/>
        <v>11.363636363636363</v>
      </c>
    </row>
    <row r="12" spans="2:26" x14ac:dyDescent="0.3">
      <c r="I12">
        <f>I11*1000000</f>
        <v>161.5</v>
      </c>
      <c r="J12">
        <f>J11*1000000</f>
        <v>260.21505376344089</v>
      </c>
      <c r="K12">
        <f>I12/I17*100</f>
        <v>7092.6657883179614</v>
      </c>
      <c r="N12">
        <v>61.5</v>
      </c>
      <c r="O12">
        <v>2.5</v>
      </c>
      <c r="P12" s="1">
        <f t="shared" si="0"/>
        <v>40.650406504065039</v>
      </c>
      <c r="U12">
        <v>25.4</v>
      </c>
      <c r="V12">
        <v>1</v>
      </c>
      <c r="Y12">
        <v>33</v>
      </c>
      <c r="Z12">
        <v>2.0499999999999998</v>
      </c>
    </row>
    <row r="13" spans="2:26" x14ac:dyDescent="0.3">
      <c r="N13">
        <v>60.5</v>
      </c>
      <c r="O13">
        <v>0.9</v>
      </c>
      <c r="P13" s="1">
        <f t="shared" si="0"/>
        <v>14.87603305785124</v>
      </c>
      <c r="Y13">
        <v>35.4</v>
      </c>
      <c r="Z13">
        <v>0.8</v>
      </c>
    </row>
    <row r="14" spans="2:26" x14ac:dyDescent="0.3">
      <c r="P14" s="1"/>
    </row>
    <row r="15" spans="2:26" x14ac:dyDescent="0.3">
      <c r="P15" s="1"/>
      <c r="S15" t="s">
        <v>4</v>
      </c>
      <c r="U15" t="s">
        <v>5</v>
      </c>
    </row>
    <row r="16" spans="2:26" x14ac:dyDescent="0.3">
      <c r="N16" t="s">
        <v>2</v>
      </c>
      <c r="O16" t="s">
        <v>3</v>
      </c>
      <c r="P16" s="1"/>
    </row>
    <row r="17" spans="9:26" x14ac:dyDescent="0.3">
      <c r="I17">
        <f>0.00099*2.3*1000000/1000</f>
        <v>2.2770000000000001</v>
      </c>
      <c r="N17">
        <v>44.5</v>
      </c>
      <c r="O17">
        <v>2.15</v>
      </c>
      <c r="P17" s="1">
        <f>O17/N17*1000</f>
        <v>48.314606741573037</v>
      </c>
    </row>
    <row r="18" spans="9:26" x14ac:dyDescent="0.3">
      <c r="N18">
        <v>52.5</v>
      </c>
      <c r="O18">
        <v>2.2000000000000002</v>
      </c>
      <c r="P18" s="1">
        <f t="shared" ref="P18:P20" si="1">O18/N18*1000</f>
        <v>41.904761904761912</v>
      </c>
    </row>
    <row r="19" spans="9:26" x14ac:dyDescent="0.3">
      <c r="N19">
        <v>47.2</v>
      </c>
      <c r="O19">
        <v>2.92</v>
      </c>
      <c r="P19" s="1">
        <f t="shared" si="1"/>
        <v>61.86440677966101</v>
      </c>
      <c r="R19">
        <v>43</v>
      </c>
      <c r="S19">
        <v>0.8</v>
      </c>
    </row>
    <row r="20" spans="9:26" x14ac:dyDescent="0.3">
      <c r="N20">
        <v>48.4</v>
      </c>
      <c r="O20">
        <v>2.2599999999999998</v>
      </c>
      <c r="P20" s="1">
        <f t="shared" si="1"/>
        <v>46.694214876033058</v>
      </c>
      <c r="R20">
        <v>43.4</v>
      </c>
      <c r="S20">
        <v>0.85</v>
      </c>
      <c r="U20">
        <v>31</v>
      </c>
      <c r="V20">
        <v>1.45</v>
      </c>
      <c r="Y20">
        <v>24.5</v>
      </c>
      <c r="Z20">
        <v>1.76</v>
      </c>
    </row>
    <row r="22" spans="9:26" x14ac:dyDescent="0.3">
      <c r="S22">
        <f>R20*S20</f>
        <v>36.89</v>
      </c>
      <c r="V22" s="2">
        <f>U20*V20/1000</f>
        <v>4.4949999999999997E-2</v>
      </c>
    </row>
    <row r="30" spans="9:26" x14ac:dyDescent="0.3">
      <c r="R30">
        <v>3000</v>
      </c>
      <c r="S30">
        <v>5</v>
      </c>
      <c r="V30">
        <v>0.9</v>
      </c>
      <c r="W30">
        <v>4.4000000000000004</v>
      </c>
      <c r="Y30">
        <f>W30/V30</f>
        <v>4.8888888888888893</v>
      </c>
    </row>
    <row r="32" spans="9:26" x14ac:dyDescent="0.3">
      <c r="V32">
        <v>0.3</v>
      </c>
      <c r="W32">
        <v>1.3</v>
      </c>
    </row>
    <row r="33" spans="19:23" x14ac:dyDescent="0.3">
      <c r="S33">
        <f>S30*R30</f>
        <v>15000</v>
      </c>
    </row>
    <row r="36" spans="19:23" x14ac:dyDescent="0.3">
      <c r="V36">
        <v>0.4</v>
      </c>
      <c r="W36">
        <v>2</v>
      </c>
    </row>
    <row r="38" spans="19:23" x14ac:dyDescent="0.3">
      <c r="V38">
        <v>0.2</v>
      </c>
      <c r="W38">
        <v>2</v>
      </c>
    </row>
    <row r="43" spans="19:23" x14ac:dyDescent="0.3">
      <c r="V43">
        <v>8.5000000000000006E-2</v>
      </c>
      <c r="W43">
        <v>0.8</v>
      </c>
    </row>
    <row r="45" spans="19:23" x14ac:dyDescent="0.3">
      <c r="V45">
        <v>70</v>
      </c>
      <c r="W45">
        <v>1.2</v>
      </c>
    </row>
    <row r="53" spans="16:22" x14ac:dyDescent="0.3">
      <c r="P53">
        <v>120</v>
      </c>
      <c r="V53" t="s">
        <v>6</v>
      </c>
    </row>
    <row r="107" spans="14:14" x14ac:dyDescent="0.3">
      <c r="N107" t="s">
        <v>7</v>
      </c>
    </row>
    <row r="111" spans="14:14" x14ac:dyDescent="0.3">
      <c r="N111" t="s">
        <v>8</v>
      </c>
    </row>
    <row r="121" spans="14:14" x14ac:dyDescent="0.3">
      <c r="N12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C3412B023A5459331F457A8BDF40D" ma:contentTypeVersion="6" ma:contentTypeDescription="Een nieuw document maken." ma:contentTypeScope="" ma:versionID="4b254f54f5a73eb0c793633537967760">
  <xsd:schema xmlns:xsd="http://www.w3.org/2001/XMLSchema" xmlns:xs="http://www.w3.org/2001/XMLSchema" xmlns:p="http://schemas.microsoft.com/office/2006/metadata/properties" xmlns:ns3="2795d6fe-7554-4c3b-974d-aeb06597f0a3" targetNamespace="http://schemas.microsoft.com/office/2006/metadata/properties" ma:root="true" ma:fieldsID="5210a4e5c3d8fa96d55997cef05304f1" ns3:_="">
    <xsd:import namespace="2795d6fe-7554-4c3b-974d-aeb06597f0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5d6fe-7554-4c3b-974d-aeb06597f0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95d6fe-7554-4c3b-974d-aeb06597f0a3" xsi:nil="true"/>
  </documentManagement>
</p:properties>
</file>

<file path=customXml/itemProps1.xml><?xml version="1.0" encoding="utf-8"?>
<ds:datastoreItem xmlns:ds="http://schemas.openxmlformats.org/officeDocument/2006/customXml" ds:itemID="{9A684731-099B-448B-A927-4195D7AE6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95d6fe-7554-4c3b-974d-aeb06597f0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349A94-5493-4A10-8948-308FA0499D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DDC8AF-A615-473E-AA48-C083442D88ED}">
  <ds:schemaRefs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2795d6fe-7554-4c3b-974d-aeb06597f0a3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 OO</dc:creator>
  <cp:lastModifiedBy>Goga OO</cp:lastModifiedBy>
  <dcterms:created xsi:type="dcterms:W3CDTF">2025-10-12T06:07:12Z</dcterms:created>
  <dcterms:modified xsi:type="dcterms:W3CDTF">2025-11-02T19:54:37Z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0x010100E35C3412B023A5459331F457A8BDF40D</vt:lpwstr>
  </property>
</Properties>
</file>